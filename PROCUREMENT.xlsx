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<sst xmlns="http://schemas.openxmlformats.org/spreadsheetml/2006/main" count="30" uniqueCount="11">
  <si>
    <t>Vendor</t>
  </si>
  <si>
    <t>Product</t>
  </si>
  <si>
    <t>Quantity</t>
  </si>
  <si>
    <t>Cost</t>
  </si>
  <si>
    <t>Total Cost</t>
  </si>
  <si>
    <t>Vendor A</t>
  </si>
  <si>
    <t>Phone</t>
  </si>
  <si>
    <t>Vendor B</t>
  </si>
  <si>
    <t>Laptop</t>
  </si>
  <si>
    <t>Vendor C</t>
  </si>
  <si>
    <t>Tablet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</si>
</sst>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6"/>
                </a:solidFill>
                <a:latin typeface="+mn-lt"/>
              </a:defRPr>
            </a:pPr>
            <a:r>
              <a:rPr b="1">
                <a:solidFill>
                  <a:schemeClr val="accent6"/>
                </a:solidFill>
                <a:latin typeface="+mn-lt"/>
              </a:rPr>
              <a:t>Vendor Cost Comparison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Sheet1!$G$2:$G$1000</c:f>
            </c:strRef>
          </c:cat>
          <c:val>
            <c:numRef>
              <c:f>Sheet1!$H$2:$H$1000</c:f>
              <c:numCache/>
            </c:numRef>
          </c:val>
        </c:ser>
        <c:axId val="2140646549"/>
        <c:axId val="1616123396"/>
      </c:barChart>
      <c:catAx>
        <c:axId val="21406465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123396"/>
      </c:catAx>
      <c:valAx>
        <c:axId val="16161233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6465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3</xdr:row>
      <xdr:rowOff>200025</xdr:rowOff>
    </xdr:from>
    <xdr:ext cx="2933700" cy="2219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0</v>
      </c>
      <c r="H1" s="4" t="s">
        <v>4</v>
      </c>
    </row>
    <row r="2">
      <c r="A2" s="5" t="s">
        <v>5</v>
      </c>
      <c r="B2" s="5" t="s">
        <v>6</v>
      </c>
      <c r="C2" s="5">
        <v>50.0</v>
      </c>
      <c r="D2" s="5">
        <v>15000.0</v>
      </c>
      <c r="E2" s="6">
        <f t="shared" ref="E2:E11" si="1">C2*D2</f>
        <v>750000</v>
      </c>
      <c r="G2" s="5" t="s">
        <v>5</v>
      </c>
      <c r="H2" s="6">
        <f>SUMIF(A:A,"Vendor A",E:E)</f>
        <v>2657000</v>
      </c>
    </row>
    <row r="3">
      <c r="A3" s="5" t="s">
        <v>7</v>
      </c>
      <c r="B3" s="5" t="s">
        <v>8</v>
      </c>
      <c r="C3" s="5">
        <v>20.0</v>
      </c>
      <c r="D3" s="5">
        <v>40000.0</v>
      </c>
      <c r="E3" s="6">
        <f t="shared" si="1"/>
        <v>800000</v>
      </c>
      <c r="G3" s="5" t="s">
        <v>7</v>
      </c>
      <c r="H3" s="6">
        <f>SUMIF(A:A,"Vendor B",E:E)</f>
        <v>1807500</v>
      </c>
    </row>
    <row r="4">
      <c r="A4" s="5" t="s">
        <v>9</v>
      </c>
      <c r="B4" s="5" t="s">
        <v>10</v>
      </c>
      <c r="C4" s="5">
        <v>30.0</v>
      </c>
      <c r="D4" s="5">
        <v>10000.0</v>
      </c>
      <c r="E4" s="6">
        <f t="shared" si="1"/>
        <v>300000</v>
      </c>
      <c r="G4" s="5" t="s">
        <v>9</v>
      </c>
      <c r="H4" s="6">
        <f>SUMIF(A:A,"Vendor C",E:E)</f>
        <v>1641000</v>
      </c>
    </row>
    <row r="5">
      <c r="A5" s="5" t="s">
        <v>5</v>
      </c>
      <c r="B5" s="5" t="s">
        <v>10</v>
      </c>
      <c r="C5" s="5">
        <v>25.0</v>
      </c>
      <c r="D5" s="5">
        <v>11000.0</v>
      </c>
      <c r="E5" s="6">
        <f t="shared" si="1"/>
        <v>275000</v>
      </c>
    </row>
    <row r="6">
      <c r="A6" s="5" t="s">
        <v>7</v>
      </c>
      <c r="B6" s="5" t="s">
        <v>6</v>
      </c>
      <c r="C6" s="5">
        <v>40.0</v>
      </c>
      <c r="D6" s="5">
        <v>16000.0</v>
      </c>
      <c r="E6" s="6">
        <f t="shared" si="1"/>
        <v>640000</v>
      </c>
    </row>
    <row r="7">
      <c r="A7" s="5" t="s">
        <v>9</v>
      </c>
      <c r="B7" s="5" t="s">
        <v>8</v>
      </c>
      <c r="C7" s="5">
        <v>15.0</v>
      </c>
      <c r="D7" s="5">
        <v>42000.0</v>
      </c>
      <c r="E7" s="6">
        <f t="shared" si="1"/>
        <v>630000</v>
      </c>
    </row>
    <row r="8">
      <c r="A8" s="5" t="s">
        <v>5</v>
      </c>
      <c r="B8" s="5" t="s">
        <v>6</v>
      </c>
      <c r="C8" s="5">
        <v>60.0</v>
      </c>
      <c r="D8" s="5">
        <v>15500.0</v>
      </c>
      <c r="E8" s="6">
        <f t="shared" si="1"/>
        <v>930000</v>
      </c>
    </row>
    <row r="9">
      <c r="A9" s="5" t="s">
        <v>7</v>
      </c>
      <c r="B9" s="5" t="s">
        <v>10</v>
      </c>
      <c r="C9" s="5">
        <v>35.0</v>
      </c>
      <c r="D9" s="5">
        <v>10500.0</v>
      </c>
      <c r="E9" s="6">
        <f t="shared" si="1"/>
        <v>367500</v>
      </c>
    </row>
    <row r="10">
      <c r="A10" s="5" t="s">
        <v>9</v>
      </c>
      <c r="B10" s="5" t="s">
        <v>6</v>
      </c>
      <c r="C10" s="5">
        <v>45.0</v>
      </c>
      <c r="D10" s="5">
        <v>15800.0</v>
      </c>
      <c r="E10" s="6">
        <f t="shared" si="1"/>
        <v>711000</v>
      </c>
    </row>
    <row r="11">
      <c r="A11" s="5" t="s">
        <v>5</v>
      </c>
      <c r="B11" s="5" t="s">
        <v>8</v>
      </c>
      <c r="C11" s="5">
        <v>18.0</v>
      </c>
      <c r="D11" s="5">
        <v>39000.0</v>
      </c>
      <c r="E11" s="6">
        <f t="shared" si="1"/>
        <v>702000</v>
      </c>
    </row>
  </sheetData>
  <drawing r:id="rId1"/>
</worksheet>
</file>